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Juan Sebastian\Documents\ANDES 2026-2\ESTRUCTURA DE DATOS Y ALGORIMOS\ESTRUCTURA DE DATOS Y ALGORITMOS\Reto2-G08\Docs\"/>
    </mc:Choice>
  </mc:AlternateContent>
  <xr:revisionPtr revIDLastSave="0" documentId="8_{7E556B85-9196-4ED5-A75C-F5D0B3BBA550}" xr6:coauthVersionLast="47" xr6:coauthVersionMax="47" xr10:uidLastSave="{00000000-0000-0000-0000-000000000000}"/>
  <bookViews>
    <workbookView xWindow="-108" yWindow="-108" windowWidth="23256" windowHeight="12456" activeTab="2" xr2:uid="{D82936D8-D2C9-4EB2-9CBC-3665F65B95FD}"/>
  </bookViews>
  <sheets>
    <sheet name="01-Data Req. 4" sheetId="1" r:id="rId1"/>
    <sheet name="02-Gráfica Req. 4" sheetId="8" r:id="rId2"/>
    <sheet name="03-Análisis Req. 4"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H18" i="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4" i="1"/>
  <c r="B5" i="1"/>
  <c r="B6" i="1"/>
  <c r="B7" i="1"/>
  <c r="B8" i="1"/>
  <c r="B9" i="1"/>
  <c r="B10" i="1"/>
  <c r="B11" i="1"/>
  <c r="B12" i="1"/>
</calcChain>
</file>

<file path=xl/sharedStrings.xml><?xml version="1.0" encoding="utf-8"?>
<sst xmlns="http://schemas.openxmlformats.org/spreadsheetml/2006/main" count="29" uniqueCount="27">
  <si>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</si>
  <si>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</si>
  <si>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</si>
  <si>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</si>
  <si>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</si>
  <si>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</si>
  <si>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</si>
  <si>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</si>
  <si>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</si>
  <si>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</si>
  <si>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</si>
  <si>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</si>
  <si>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</si>
  <si>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</si>
  <si>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</si>
  <si>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</si>
  <si>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</si>
  <si>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</si>
  <si>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</si>
  <si>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</si>
  <si>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</si>
  <si>
    <t>97.84</t>
  </si>
  <si>
    <t>1.04</t>
  </si>
  <si>
    <t xml:space="preserve">Parametros uniformes para ejecucion de pruebas </t>
  </si>
  <si>
    <t>Aunque la complejidad de ambos requerimientos quedaron en O(n), siendo n los elementos pedidos, y O(k), siendo el numero de pedidos de la combinacion producto-pais, respectivamente, y que se muestre una complejidad parecida ya que depende netamente de los elementos que se usan en cada requerimiento, esto cambia por completo al momento de ir a los resutados experimentales, debido a que como se muestra en la grafica, el tiempo de ejecucion de cada requerimiento no es tan cercano como se nos muestra en la teoria, ya que el tiempo de ejecucion del reto 2 es drasticamente inferior a la del 1. Debido a esto, se puede decir que las tablas de hash o mapas son mucho más eficientes que las listas indexadas con el manejo de datos mas grandes.</t>
  </si>
  <si>
    <r>
      <rPr>
        <sz val="10"/>
        <color theme="1"/>
        <rFont val="Calibri"/>
        <family val="2"/>
        <scheme val="minor"/>
      </rPr>
      <t>Se evidencia que el uso de estructuras de datos como los mapas generan una reduccion drastica entre los retos 1 y 2, como se evidencia en la grafica, el requerimiento 4 con implementacion de mapas tiene un tiempo de ejecucion tan constante y eficiente que para la escala de la misma, logra ser imperceptible el cambio de tiempo de ejecucion entre porcentajes, ademas esta casi rozando el valor minimo de la columna en la grafica, al acceder a la llave en el mapa o establecer un limite entre llaves facilitaba el proceso . Por otra parte, el uso de una array list generaba que se tuviera que hacer una busqueda por cada indice para satisfacer el requerimiento o hasta tener un EMPTY, generando una mayor complejidad temporal y por lo mismo mas tiempo de ejecucion</t>
    </r>
    <r>
      <rPr>
        <sz val="11"/>
        <color theme="1"/>
        <rFont val="Calibri"/>
        <family val="2"/>
        <scheme val="minor"/>
      </rPr>
      <t>.</t>
    </r>
  </si>
  <si>
    <t>Despues de haber realizado el analisis teorico y las pruebas del requerimiento 4 en ambos retos, es facil concluir el gran impacto de la estructura de datos elegida al momento de hacer un algoritmo, debido a que esta es la que estabelce la complejidad, que puede ser igual con otras estructuras como listas u pilas, pero en el apartado experimental, logra sacar una ventaja drastica, ya que reduce los tiempos de ejecucion de gran medida y mantiene cierto limite en este ultimo. Por lo mismo, es crucial entender el requerimiento antes de empezar a desarrollarlo, debido a que se debe mirar el resultado esperado y tener claro la implementacion correcta de estrcutura de datos, para que la ejecucion y complejidad sea la menor posible.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</si>
</sst>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
      <sz val="10"/>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xf numFmtId="0" fontId="0" fillId="0" borderId="1" xfId="0" applyBorder="1" applyAlignment="1">
      <alignment horizontal="center" vertical="top" wrapText="1"/>
    </xf>
    <xf numFmtId="0" fontId="7"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20">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6.44</c:v>
                </c:pt>
                <c:pt idx="1">
                  <c:v>16.86</c:v>
                </c:pt>
                <c:pt idx="2">
                  <c:v>40.75</c:v>
                </c:pt>
                <c:pt idx="3">
                  <c:v>65.41</c:v>
                </c:pt>
                <c:pt idx="4">
                  <c:v>78.17</c:v>
                </c:pt>
                <c:pt idx="5">
                  <c:v>89.37</c:v>
                </c:pt>
                <c:pt idx="6">
                  <c:v>120.2</c:v>
                </c:pt>
                <c:pt idx="7">
                  <c:v>159.25</c:v>
                </c:pt>
                <c:pt idx="8">
                  <c:v>205.35</c:v>
                </c:pt>
                <c:pt idx="9">
                  <c:v>223.25</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1.0580000000000001</c:v>
                </c:pt>
                <c:pt idx="1">
                  <c:v>1.59</c:v>
                </c:pt>
                <c:pt idx="2">
                  <c:v>2.222</c:v>
                </c:pt>
                <c:pt idx="3">
                  <c:v>2.7279999999999998</c:v>
                </c:pt>
                <c:pt idx="4">
                  <c:v>2.87</c:v>
                </c:pt>
                <c:pt idx="5">
                  <c:v>3.8619999999999997</c:v>
                </c:pt>
                <c:pt idx="6">
                  <c:v>4.1219999999999999</c:v>
                </c:pt>
                <c:pt idx="7">
                  <c:v>7.4675000000000002</c:v>
                </c:pt>
                <c:pt idx="8">
                  <c:v>5.7440000000000007</c:v>
                </c:pt>
                <c:pt idx="9">
                  <c:v>5.6539999999999999</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41866</xdr:colOff>
      <xdr:row>2</xdr:row>
      <xdr:rowOff>117232</xdr:rowOff>
    </xdr:from>
    <xdr:to>
      <xdr:col>10</xdr:col>
      <xdr:colOff>5659</xdr:colOff>
      <xdr:row>10</xdr:row>
      <xdr:rowOff>125605</xdr:rowOff>
    </xdr:to>
    <xdr:pic>
      <xdr:nvPicPr>
        <xdr:cNvPr id="2" name="Imagen 1">
          <a:extLst>
            <a:ext uri="{FF2B5EF4-FFF2-40B4-BE49-F238E27FC236}">
              <a16:creationId xmlns:a16="http://schemas.microsoft.com/office/drawing/2014/main" id="{370E26BC-EAAD-EA82-3CE7-1CACFDFA4DA1}"/>
            </a:ext>
          </a:extLst>
        </xdr:cNvPr>
        <xdr:cNvPicPr>
          <a:picLocks noChangeAspect="1"/>
        </xdr:cNvPicPr>
      </xdr:nvPicPr>
      <xdr:blipFill>
        <a:blip xmlns:r="http://schemas.openxmlformats.org/officeDocument/2006/relationships" r:embed="rId1"/>
        <a:stretch>
          <a:fillRect/>
        </a:stretch>
      </xdr:blipFill>
      <xdr:spPr>
        <a:xfrm>
          <a:off x="10048350" y="644770"/>
          <a:ext cx="3405353" cy="14653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56320" cy="627888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J26"/>
  <sheetViews>
    <sheetView topLeftCell="B1" zoomScale="91" zoomScaleNormal="130" workbookViewId="0">
      <selection activeCell="L25" sqref="L25"/>
    </sheetView>
  </sheetViews>
  <sheetFormatPr baseColWidth="10" defaultColWidth="8.77734375" defaultRowHeight="14.4"/>
  <cols>
    <col min="1" max="1" width="19.21875" style="1" bestFit="1" customWidth="1"/>
    <col min="2" max="2" width="25.44140625" style="1" bestFit="1" customWidth="1"/>
    <col min="3" max="4" width="10.44140625" style="1" bestFit="1" customWidth="1"/>
    <col min="5" max="5" width="10.44140625" style="6" bestFit="1" customWidth="1"/>
    <col min="6" max="7" width="10.44140625" bestFit="1" customWidth="1"/>
    <col min="8" max="9" width="24.44140625" customWidth="1"/>
    <col min="10" max="10" width="50.21875" bestFit="1" customWidth="1"/>
    <col min="11" max="12" width="24.44140625" customWidth="1"/>
  </cols>
  <sheetData>
    <row r="1" spans="1:10" ht="14.25" customHeight="1">
      <c r="C1" s="9" t="s">
        <v>0</v>
      </c>
      <c r="D1" s="9"/>
      <c r="E1" s="9"/>
      <c r="F1" s="9"/>
      <c r="G1" s="9"/>
      <c r="H1" s="9"/>
    </row>
    <row r="2" spans="1:10" s="5" customFormat="1" ht="27.6">
      <c r="A2" s="4" t="s">
        <v>1</v>
      </c>
      <c r="B2" s="4" t="s">
        <v>2</v>
      </c>
      <c r="C2" s="4" t="s">
        <v>3</v>
      </c>
      <c r="D2" s="4" t="s">
        <v>4</v>
      </c>
      <c r="E2" s="4" t="s">
        <v>5</v>
      </c>
      <c r="F2" s="4" t="s">
        <v>6</v>
      </c>
      <c r="G2" s="4" t="s">
        <v>7</v>
      </c>
      <c r="H2" s="4" t="s">
        <v>8</v>
      </c>
      <c r="J2" s="5" t="s">
        <v>23</v>
      </c>
    </row>
    <row r="3" spans="1:10" s="5" customFormat="1" ht="13.8">
      <c r="A3" s="2">
        <v>0.1</v>
      </c>
      <c r="B3" s="3">
        <f>Table1[[#This Row],[Porcentaje de la muestra]]*100000</f>
        <v>10000</v>
      </c>
      <c r="C3" s="3">
        <v>6.44</v>
      </c>
      <c r="D3" s="3">
        <v>5.72</v>
      </c>
      <c r="E3" s="3">
        <v>3.67</v>
      </c>
      <c r="F3" s="3">
        <v>4.54</v>
      </c>
      <c r="G3" s="3">
        <v>4.1900000000000004</v>
      </c>
      <c r="H3" s="4">
        <f>AVERAGE(Table1[[#This Row],[Tiempo1]:[Tiempo5]])</f>
        <v>4.9120000000000008</v>
      </c>
    </row>
    <row r="4" spans="1:10" s="5" customFormat="1" ht="13.8">
      <c r="A4" s="2">
        <v>0.2</v>
      </c>
      <c r="B4" s="3">
        <f>Table1[[#This Row],[Porcentaje de la muestra]]*100000</f>
        <v>20000</v>
      </c>
      <c r="C4" s="3">
        <v>16.86</v>
      </c>
      <c r="D4" s="3">
        <v>12.69</v>
      </c>
      <c r="E4" s="3">
        <v>11.14</v>
      </c>
      <c r="F4" s="3">
        <v>8.73</v>
      </c>
      <c r="G4" s="3">
        <v>13.64</v>
      </c>
      <c r="H4" s="4">
        <f>AVERAGE(Table1[[#This Row],[Tiempo1]:[Tiempo5]])</f>
        <v>12.612</v>
      </c>
    </row>
    <row r="5" spans="1:10">
      <c r="A5" s="2">
        <v>0.3</v>
      </c>
      <c r="B5" s="3">
        <f>Table1[[#This Row],[Porcentaje de la muestra]]*100000</f>
        <v>30000</v>
      </c>
      <c r="C5" s="3">
        <v>40.75</v>
      </c>
      <c r="D5" s="3">
        <v>26.52</v>
      </c>
      <c r="E5" s="3">
        <v>17.7</v>
      </c>
      <c r="F5" s="3">
        <v>22.28</v>
      </c>
      <c r="G5" s="3">
        <v>34.39</v>
      </c>
      <c r="H5" s="4">
        <f>AVERAGE(Table1[[#This Row],[Tiempo1]:[Tiempo5]])</f>
        <v>28.327999999999996</v>
      </c>
    </row>
    <row r="6" spans="1:10">
      <c r="A6" s="2">
        <v>0.4</v>
      </c>
      <c r="B6" s="3">
        <f>Table1[[#This Row],[Porcentaje de la muestra]]*100000</f>
        <v>40000</v>
      </c>
      <c r="C6" s="3">
        <v>65.41</v>
      </c>
      <c r="D6" s="3">
        <v>53.36</v>
      </c>
      <c r="E6" s="3">
        <v>26.35</v>
      </c>
      <c r="F6" s="3">
        <v>34.32</v>
      </c>
      <c r="G6" s="3">
        <v>30.51</v>
      </c>
      <c r="H6" s="4">
        <f>AVERAGE(Table1[[#This Row],[Tiempo1]:[Tiempo5]])</f>
        <v>41.989999999999995</v>
      </c>
    </row>
    <row r="7" spans="1:10">
      <c r="A7" s="2">
        <v>0.5</v>
      </c>
      <c r="B7" s="3">
        <f>Table1[[#This Row],[Porcentaje de la muestra]]*100000</f>
        <v>50000</v>
      </c>
      <c r="C7" s="3">
        <v>78.17</v>
      </c>
      <c r="D7" s="3">
        <v>77.239999999999995</v>
      </c>
      <c r="E7" s="3">
        <v>56.16</v>
      </c>
      <c r="F7" s="3">
        <v>39.869999999999997</v>
      </c>
      <c r="G7" s="3">
        <v>48.88</v>
      </c>
      <c r="H7" s="4">
        <f>AVERAGE(Table1[[#This Row],[Tiempo1]:[Tiempo5]])</f>
        <v>60.064</v>
      </c>
    </row>
    <row r="8" spans="1:10">
      <c r="A8" s="2">
        <v>0.6</v>
      </c>
      <c r="B8" s="3">
        <f>Table1[[#This Row],[Porcentaje de la muestra]]*100000</f>
        <v>60000</v>
      </c>
      <c r="C8" s="3">
        <v>89.37</v>
      </c>
      <c r="D8" s="3" t="s">
        <v>21</v>
      </c>
      <c r="E8" s="3">
        <v>61.45</v>
      </c>
      <c r="F8" s="3">
        <v>57.54</v>
      </c>
      <c r="G8" s="3">
        <v>58.8</v>
      </c>
      <c r="H8" s="4">
        <f>AVERAGE(Table1[[#This Row],[Tiempo1]:[Tiempo5]])</f>
        <v>66.789999999999992</v>
      </c>
    </row>
    <row r="9" spans="1:10">
      <c r="A9" s="2">
        <v>0.7</v>
      </c>
      <c r="B9" s="3">
        <f>Table1[[#This Row],[Porcentaje de la muestra]]*100000</f>
        <v>70000</v>
      </c>
      <c r="C9" s="3">
        <v>120.2</v>
      </c>
      <c r="D9" s="3">
        <v>104.33</v>
      </c>
      <c r="E9" s="3">
        <v>76.489999999999995</v>
      </c>
      <c r="F9" s="3">
        <v>71.94</v>
      </c>
      <c r="G9" s="3">
        <v>77.739999999999995</v>
      </c>
      <c r="H9" s="4">
        <f>AVERAGE(Table1[[#This Row],[Tiempo1]:[Tiempo5]])</f>
        <v>90.14</v>
      </c>
    </row>
    <row r="10" spans="1:10">
      <c r="A10" s="2">
        <v>0.8</v>
      </c>
      <c r="B10" s="3">
        <f>Table1[[#This Row],[Porcentaje de la muestra]]*100000</f>
        <v>80000</v>
      </c>
      <c r="C10" s="3">
        <v>159.25</v>
      </c>
      <c r="D10" s="3">
        <v>124.26</v>
      </c>
      <c r="E10" s="3">
        <v>105.65</v>
      </c>
      <c r="F10" s="3">
        <v>99.04</v>
      </c>
      <c r="G10" s="3">
        <v>98.39</v>
      </c>
      <c r="H10" s="4">
        <f>AVERAGE(Table1[[#This Row],[Tiempo1]:[Tiempo5]])</f>
        <v>117.31800000000001</v>
      </c>
    </row>
    <row r="11" spans="1:10">
      <c r="A11" s="2">
        <v>0.9</v>
      </c>
      <c r="B11" s="3">
        <f>Table1[[#This Row],[Porcentaje de la muestra]]*100000</f>
        <v>90000</v>
      </c>
      <c r="C11" s="3">
        <v>205.35</v>
      </c>
      <c r="D11" s="3">
        <v>175.31</v>
      </c>
      <c r="E11" s="3">
        <v>110.5</v>
      </c>
      <c r="F11" s="3">
        <v>119.51</v>
      </c>
      <c r="G11" s="3">
        <v>123.83</v>
      </c>
      <c r="H11" s="4">
        <f>AVERAGE(Table1[[#This Row],[Tiempo1]:[Tiempo5]])</f>
        <v>146.9</v>
      </c>
    </row>
    <row r="12" spans="1:10">
      <c r="A12" s="2">
        <v>1</v>
      </c>
      <c r="B12" s="3">
        <f>Table1[[#This Row],[Porcentaje de la muestra]]*100000</f>
        <v>100000</v>
      </c>
      <c r="C12" s="3">
        <v>223.25</v>
      </c>
      <c r="D12" s="3">
        <v>187.91</v>
      </c>
      <c r="E12" s="3">
        <v>155.41999999999999</v>
      </c>
      <c r="F12" s="3">
        <v>162.68</v>
      </c>
      <c r="G12" s="3">
        <v>143.30000000000001</v>
      </c>
      <c r="H12" s="4">
        <f>AVERAGE(Table1[[#This Row],[Tiempo1]:[Tiempo5]])</f>
        <v>174.512</v>
      </c>
    </row>
    <row r="13" spans="1:10">
      <c r="A13" s="2"/>
      <c r="B13" s="3"/>
      <c r="C13" s="4"/>
      <c r="D13" s="4"/>
      <c r="E13" s="4"/>
      <c r="F13" s="4"/>
      <c r="G13" s="4"/>
      <c r="H13" s="4"/>
    </row>
    <row r="15" spans="1:10" ht="14.25" customHeight="1">
      <c r="C15" s="10" t="s">
        <v>9</v>
      </c>
      <c r="D15" s="10"/>
      <c r="E15" s="10"/>
      <c r="F15" s="10"/>
      <c r="G15" s="10"/>
      <c r="H15" s="10"/>
    </row>
    <row r="16" spans="1:10" s="5" customFormat="1" ht="27.6">
      <c r="A16" s="4" t="s">
        <v>1</v>
      </c>
      <c r="B16" s="4" t="s">
        <v>2</v>
      </c>
      <c r="C16" s="4" t="s">
        <v>10</v>
      </c>
      <c r="D16" s="4" t="s">
        <v>11</v>
      </c>
      <c r="E16" s="4" t="s">
        <v>12</v>
      </c>
      <c r="F16" s="4" t="s">
        <v>13</v>
      </c>
      <c r="G16" s="4" t="s">
        <v>14</v>
      </c>
      <c r="H16" s="4" t="s">
        <v>15</v>
      </c>
    </row>
    <row r="17" spans="1:8" s="5" customFormat="1" ht="13.8">
      <c r="A17" s="2">
        <v>0.1</v>
      </c>
      <c r="B17" s="3">
        <f>Table13[[#This Row],[Porcentaje de la muestra]]*100000</f>
        <v>10000</v>
      </c>
      <c r="C17" s="3">
        <v>2.33</v>
      </c>
      <c r="D17" s="3">
        <v>1.97</v>
      </c>
      <c r="E17" s="3">
        <v>0.16</v>
      </c>
      <c r="F17" s="3">
        <v>0.5</v>
      </c>
      <c r="G17" s="3">
        <v>0.33</v>
      </c>
      <c r="H17" s="4">
        <f>AVERAGE(Table13[[#This Row],[Tiempo 1]:[Tiempo 5]])</f>
        <v>1.0580000000000001</v>
      </c>
    </row>
    <row r="18" spans="1:8" s="5" customFormat="1" ht="13.8">
      <c r="A18" s="2">
        <v>0.2</v>
      </c>
      <c r="B18" s="3">
        <f>Table13[[#This Row],[Porcentaje de la muestra]]*100000</f>
        <v>20000</v>
      </c>
      <c r="C18" s="3">
        <v>4.34</v>
      </c>
      <c r="D18" s="3">
        <v>1.66</v>
      </c>
      <c r="E18" s="3">
        <v>0.28999999999999998</v>
      </c>
      <c r="F18" s="3">
        <v>0.92</v>
      </c>
      <c r="G18" s="3">
        <v>0.74</v>
      </c>
      <c r="H18" s="4">
        <f>AVERAGE(Table13[[#This Row],[Tiempo 1]:[Tiempo 5]])</f>
        <v>1.59</v>
      </c>
    </row>
    <row r="19" spans="1:8">
      <c r="A19" s="2">
        <v>0.3</v>
      </c>
      <c r="B19" s="3">
        <f>Table13[[#This Row],[Porcentaje de la muestra]]*100000</f>
        <v>30000</v>
      </c>
      <c r="C19" s="3">
        <v>5.0599999999999996</v>
      </c>
      <c r="D19" s="3">
        <v>4.03</v>
      </c>
      <c r="E19" s="3">
        <v>0.59</v>
      </c>
      <c r="F19" s="3">
        <v>0.93</v>
      </c>
      <c r="G19" s="3">
        <v>0.5</v>
      </c>
      <c r="H19" s="4">
        <f>AVERAGE(Table13[[#This Row],[Tiempo 1]:[Tiempo 5]])</f>
        <v>2.222</v>
      </c>
    </row>
    <row r="20" spans="1:8">
      <c r="A20" s="2">
        <v>0.4</v>
      </c>
      <c r="B20" s="3">
        <f>Table13[[#This Row],[Porcentaje de la muestra]]*100000</f>
        <v>40000</v>
      </c>
      <c r="C20" s="3">
        <v>5.46</v>
      </c>
      <c r="D20" s="3">
        <v>5.0999999999999996</v>
      </c>
      <c r="E20" s="3">
        <v>0.83</v>
      </c>
      <c r="F20" s="3">
        <v>1.7</v>
      </c>
      <c r="G20" s="3">
        <v>0.55000000000000004</v>
      </c>
      <c r="H20" s="4">
        <f>AVERAGE(Table13[[#This Row],[Tiempo 1]:[Tiempo 5]])</f>
        <v>2.7279999999999998</v>
      </c>
    </row>
    <row r="21" spans="1:8">
      <c r="A21" s="2">
        <v>0.5</v>
      </c>
      <c r="B21" s="3">
        <f>Table13[[#This Row],[Porcentaje de la muestra]]*100000</f>
        <v>50000</v>
      </c>
      <c r="C21" s="3">
        <v>6.04</v>
      </c>
      <c r="D21" s="3">
        <v>4.99</v>
      </c>
      <c r="E21" s="3">
        <v>1.1299999999999999</v>
      </c>
      <c r="F21" s="3">
        <v>0.99</v>
      </c>
      <c r="G21" s="3">
        <v>1.2</v>
      </c>
      <c r="H21" s="4">
        <f>AVERAGE(Table13[[#This Row],[Tiempo 1]:[Tiempo 5]])</f>
        <v>2.87</v>
      </c>
    </row>
    <row r="22" spans="1:8">
      <c r="A22" s="2">
        <v>0.6</v>
      </c>
      <c r="B22" s="3">
        <f>Table13[[#This Row],[Porcentaje de la muestra]]*100000</f>
        <v>60000</v>
      </c>
      <c r="C22" s="3">
        <v>9.3699999999999992</v>
      </c>
      <c r="D22" s="3">
        <v>5.72</v>
      </c>
      <c r="E22" s="3">
        <v>1</v>
      </c>
      <c r="F22" s="3">
        <v>2.29</v>
      </c>
      <c r="G22" s="3">
        <v>0.93</v>
      </c>
      <c r="H22" s="4">
        <f>AVERAGE(Table13[[#This Row],[Tiempo 1]:[Tiempo 5]])</f>
        <v>3.8619999999999997</v>
      </c>
    </row>
    <row r="23" spans="1:8">
      <c r="A23" s="2">
        <v>0.7</v>
      </c>
      <c r="B23" s="3">
        <f>Table13[[#This Row],[Porcentaje de la muestra]]*100000</f>
        <v>70000</v>
      </c>
      <c r="C23" s="3">
        <v>9.35</v>
      </c>
      <c r="D23" s="3">
        <v>6.13</v>
      </c>
      <c r="E23" s="3">
        <v>0.87</v>
      </c>
      <c r="F23" s="3">
        <v>2.34</v>
      </c>
      <c r="G23" s="3">
        <v>1.92</v>
      </c>
      <c r="H23" s="4">
        <f>AVERAGE(Table13[[#This Row],[Tiempo 1]:[Tiempo 5]])</f>
        <v>4.1219999999999999</v>
      </c>
    </row>
    <row r="24" spans="1:8">
      <c r="A24" s="2">
        <v>0.8</v>
      </c>
      <c r="B24" s="3">
        <f>Table13[[#This Row],[Porcentaje de la muestra]]*100000</f>
        <v>80000</v>
      </c>
      <c r="C24" s="3">
        <v>18.78</v>
      </c>
      <c r="D24" s="3">
        <v>7.44</v>
      </c>
      <c r="E24" s="3" t="s">
        <v>22</v>
      </c>
      <c r="F24" s="3">
        <v>2.65</v>
      </c>
      <c r="G24" s="3">
        <v>1</v>
      </c>
      <c r="H24" s="4">
        <f>AVERAGE(Table13[[#This Row],[Tiempo 1]:[Tiempo 5]])</f>
        <v>7.4675000000000002</v>
      </c>
    </row>
    <row r="25" spans="1:8">
      <c r="A25" s="2">
        <v>0.9</v>
      </c>
      <c r="B25" s="3">
        <f>Table13[[#This Row],[Porcentaje de la muestra]]*100000</f>
        <v>90000</v>
      </c>
      <c r="C25" s="3">
        <v>13.06</v>
      </c>
      <c r="D25" s="3">
        <v>9.5</v>
      </c>
      <c r="E25" s="3">
        <v>1.78</v>
      </c>
      <c r="F25" s="3">
        <v>2.68</v>
      </c>
      <c r="G25" s="3">
        <v>1.7</v>
      </c>
      <c r="H25" s="4">
        <f>AVERAGE(Table13[[#This Row],[Tiempo 1]:[Tiempo 5]])</f>
        <v>5.7440000000000007</v>
      </c>
    </row>
    <row r="26" spans="1:8">
      <c r="A26" s="2">
        <v>1</v>
      </c>
      <c r="B26" s="3">
        <f>Table13[[#This Row],[Porcentaje de la muestra]]*100000</f>
        <v>100000</v>
      </c>
      <c r="C26" s="3">
        <v>13.16</v>
      </c>
      <c r="D26" s="3">
        <v>8.31</v>
      </c>
      <c r="E26" s="3">
        <v>1.61</v>
      </c>
      <c r="F26" s="3">
        <v>3.16</v>
      </c>
      <c r="G26" s="3">
        <v>2.0299999999999998</v>
      </c>
      <c r="H26" s="4">
        <f>AVERAGE(Table13[[#This Row],[Tiempo 1]:[Tiempo 5]])</f>
        <v>5.6539999999999999</v>
      </c>
    </row>
  </sheetData>
  <mergeCells count="2">
    <mergeCell ref="C1:H1"/>
    <mergeCell ref="C15:H15"/>
  </mergeCells>
  <phoneticPr fontId="6" type="noConversion"/>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tabSelected="1" workbookViewId="0">
      <selection activeCell="B6" sqref="B6"/>
    </sheetView>
  </sheetViews>
  <sheetFormatPr baseColWidth="10" defaultColWidth="11.44140625" defaultRowHeight="14.4"/>
  <cols>
    <col min="1" max="1" width="61.77734375" customWidth="1"/>
    <col min="2" max="2" width="90.44140625" customWidth="1"/>
  </cols>
  <sheetData>
    <row r="1" spans="1:2">
      <c r="A1" s="7" t="s">
        <v>16</v>
      </c>
      <c r="B1" s="7" t="s">
        <v>17</v>
      </c>
    </row>
    <row r="2" spans="1:2" ht="109.95" customHeight="1">
      <c r="A2" s="8" t="s">
        <v>18</v>
      </c>
      <c r="B2" s="11" t="s">
        <v>25</v>
      </c>
    </row>
    <row r="3" spans="1:2" ht="109.95" customHeight="1">
      <c r="A3" s="8" t="s">
        <v>19</v>
      </c>
      <c r="B3" s="12" t="s">
        <v>24</v>
      </c>
    </row>
    <row r="4" spans="1:2" ht="109.95" customHeight="1">
      <c r="A4" s="8" t="s">
        <v>20</v>
      </c>
      <c r="B4" s="13"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Juan Sebastian Rojas Marin</cp:lastModifiedBy>
  <cp:revision/>
  <dcterms:created xsi:type="dcterms:W3CDTF">2021-02-18T03:17:26Z</dcterms:created>
  <dcterms:modified xsi:type="dcterms:W3CDTF">2026-10-15T02:57:27Z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